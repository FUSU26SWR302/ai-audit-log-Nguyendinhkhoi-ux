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C371E6B-0AB1-4301-89D2-F43A9B41DD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1" l="1"/>
  <c r="B26" i="1"/>
  <c r="B25" i="1"/>
  <c r="B24" i="1"/>
  <c r="C12" i="1"/>
</calcChain>
</file>

<file path=xl/sharedStrings.xml><?xml version="1.0" encoding="utf-8"?>
<sst xmlns="http://schemas.openxmlformats.org/spreadsheetml/2006/main" count="253" uniqueCount="196">
  <si>
    <t>AI AUDIT LOG - METADATA &amp; SUMMARY</t>
  </si>
  <si>
    <t>STUDENT INFORMATION</t>
  </si>
  <si>
    <t>Student Name:</t>
  </si>
  <si>
    <t>Student ID:</t>
  </si>
  <si>
    <t>Course:</t>
  </si>
  <si>
    <t>SWR302 - Software Requirements</t>
  </si>
  <si>
    <t>Assignment:</t>
  </si>
  <si>
    <t>Chapters 16 &amp; 17 - Prioritization and Requirements Validation</t>
  </si>
  <si>
    <t>AI USAGE SUMMARY</t>
  </si>
  <si>
    <t>Total Prompts Used (all AI tools):</t>
  </si>
  <si>
    <t>Core Prompts Logged:</t>
  </si>
  <si>
    <t>Selection Ratio:</t>
  </si>
  <si>
    <t>Should be 10-20%</t>
  </si>
  <si>
    <t>Hallucination Detected:</t>
  </si>
  <si>
    <t>AI TOOLS USED</t>
  </si>
  <si>
    <t>AI Tool</t>
  </si>
  <si>
    <t>Purpose</t>
  </si>
  <si>
    <t>Frequency</t>
  </si>
  <si>
    <t>Main Value</t>
  </si>
  <si>
    <t>ChatGPT</t>
  </si>
  <si>
    <t>MoSCoW analysis, V&amp;V reasoning, acceptance criteria review</t>
  </si>
  <si>
    <t>High</t>
  </si>
  <si>
    <t>Structured alternatives and edge-case discovery</t>
  </si>
  <si>
    <t>No other AI tool used</t>
  </si>
  <si>
    <t>-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</si>
  <si>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</si>
  <si>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</si>
  <si>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</si>
  <si>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</si>
  <si>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</si>
  <si>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</si>
  <si>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</si>
  <si>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</si>
  <si>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</si>
  <si>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</si>
  <si>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</si>
  <si>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</si>
  <si>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</si>
  <si>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</si>
  <si>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</si>
  <si>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</si>
  <si>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</si>
  <si>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</si>
  <si>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</si>
  <si>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001</t>
  </si>
  <si>
    <t>DECISION</t>
  </si>
  <si>
    <t>Cần ưu tiên 10 requirements trong 8 tuần với 3 developer.</t>
  </si>
  <si>
    <t>Classify R01-R10 using MoSCoW for an 8-week clinic booking MVP and explain the Must Have items.</t>
  </si>
  <si>
    <t>The first suggestion treated online payment as a Must. The final set was R01/R02/R06 Must; R03/R07 Should; R04/R05/R09 Could; R08/R10 Won't.</t>
  </si>
  <si>
    <t>Critical Thinking: Thanh toán trực tuyến không bắt buộc để đặt lịch.
Contextualization: Mục tiêu chính là bệnh nhân đặt lịch đúng cơ sở.
Creative Synthesis: Tôi dùng câu hỏi bỏ tính năng này thì mục tiêu chính còn đạt không.
Decision: Chọn R01, R02 và R06 là Must.</t>
  </si>
  <si>
    <t>Bảng MoSCoW và giải thích Must</t>
  </si>
  <si>
    <t>002</t>
  </si>
  <si>
    <t>PROBLEM-SOLVING</t>
  </si>
  <si>
    <t>Cần viết câu hỏi Games People Play cho hai Should Have.</t>
  </si>
  <si>
    <t>Create three challenge questions for R03 SMS reminders and R07 online payment.</t>
  </si>
  <si>
    <t>The AI suggested questions about business impact, temporary alternatives, affected users, cost, and postponement.</t>
  </si>
  <si>
    <t>Critical Thinking: Một số câu AI quá chung chung.
Contextualization: R03 và R07 có thể hoãn mà hệ thống vẫn đặt lịch được.
Creative Synthesis: Tôi viết lại thành tình huống cụ thể của phòng khám.
Decision: Giữ 3 câu hỏi cho mỗi requirement.</t>
  </si>
  <si>
    <t>Phần 1b - 6 câu hỏi</t>
  </si>
  <si>
    <t>003</t>
  </si>
  <si>
    <t>VERIFICATION</t>
  </si>
  <si>
    <t>Deadline giảm từ 8 tuần xuống 5 tuần.</t>
  </si>
  <si>
    <t>Reprioritize the requirements when the deadline is reduced from eight weeks to five weeks.</t>
  </si>
  <si>
    <t>The AI recommended downgrading R03 and R07 because they require external integrations and are not essential to the basic booking flow.</t>
  </si>
  <si>
    <t>Critical Thinking: Chỉ hạ cấp chức năng không làm hỏng luồng cốt lõi.
Contextualization: SMS và payment gateway có rủi ro tích hợp.
Creative Synthesis: R03 xuống Could và R07 xuống Won't.
Decision: Giữ R01, R02, R06 ở mức Must.</t>
  </si>
  <si>
    <t>Phần 1c - bảng điều chỉnh</t>
  </si>
  <si>
    <t>004</t>
  </si>
  <si>
    <t>Cần phân biệt Verification, Validation và Cả hai.</t>
  </si>
  <si>
    <t>Classify TH1-TH5 as Verification, Validation, or Both, with a short reason.</t>
  </si>
  <si>
    <t>The initial answer marked TH4 as Validation only. The corrected result was TH1 Verification, TH2 Validation, TH3 Verification, TH4 Both, TH5 Both.</t>
  </si>
  <si>
    <t>Critical Thinking: TH4 vừa kiểm tra traceability vừa kiểm tra đúng nhu cầu.
Contextualization: Verification là đúng đặc tả; Validation là đúng việc.
Creative Synthesis: Tôi xét đối tượng được so sánh trong từng tình huống.
Decision: Chọn Cả hai cho TH4 và TH5.</t>
  </si>
  <si>
    <t>Bảng phân loại TH1-TH5</t>
  </si>
  <si>
    <t>005</t>
  </si>
  <si>
    <t>TH5 có 200 test pass nhưng khách hàng từ chối nghiệm thu.</t>
  </si>
  <si>
    <t>Analyze why TH5 passed all tests but failed acceptance, and explain how a BA could prevent it.</t>
  </si>
  <si>
    <t>The AI identified successful verification against a flawed requirement and failed validation with stakeholders.</t>
  </si>
  <si>
    <t>Critical Thinking: Test không sai; rule CMND và BHYT mới là vấn đề.
Contextualization: Tester chỉ chứng minh hệ thống làm đúng SRS.
Creative Synthesis: Tôi bổ sung walkthrough, prototype và UAT.
Decision: Validation phải diễn ra trước coding và trước bàn giao.</t>
  </si>
  <si>
    <t>Phân tích TH5</t>
  </si>
  <si>
    <t>006</t>
  </si>
  <si>
    <t>Cần viết 4 AC Given-When-Then có thể kiểm thử.</t>
  </si>
  <si>
    <t>Write four testable Given-When-Then acceptance criteria for phone-based appointment booking.</t>
  </si>
  <si>
    <t>The AI covered successful booking, invalid OTP, missing information, and an unavailable slot, but missed simultaneous booking.</t>
  </si>
  <si>
    <t>Critical Thinking: Happy path chưa đủ, còn race condition.
Contextualization: Hai bệnh nhân có thể chọn cùng một slot.
Creative Synthesis: Tôi thêm kết quả quan sát được và không tạo booking khi lỗi.
Decision: Giữ 4 AC chính và phân tích concurrency riêng.</t>
  </si>
  <si>
    <t>Phần 3a - 4 AC</t>
  </si>
  <si>
    <t>007</t>
  </si>
  <si>
    <t>Cần chọn AC dễ bị bỏ sót và thiết kế test case.</t>
  </si>
  <si>
    <t>Choose the most easily missed acceptance criterion and design one concrete test case.</t>
  </si>
  <si>
    <t>The AI selected concurrent booking of the final available slot and proposed two sessions confirming at nearly the same time.</t>
  </si>
  <si>
    <t>Critical Thinking: Lỗi này khó thấy khi chỉ test tuần tự.
Contextualization: Double booking gây quá tải và sai dữ liệu.
Creative Synthesis: Dùng hai số điện thoại và chỉ còn một slot.
Decision: Chỉ một booking được thành công.</t>
  </si>
  <si>
    <t>Phần 3b và test case</t>
  </si>
  <si>
    <t>008</t>
  </si>
  <si>
    <t>Cần kiểm tra toàn bộ đáp án theo rubric.</t>
  </si>
  <si>
    <t>Check the completed answers against the rubric and identify missing justification or inconsistency.</t>
  </si>
  <si>
    <t>The AI checked MoSCoW, six challenge questions, five V&amp;V cases, TH5 analysis, four ACs, one missed AC, and one test case.</t>
  </si>
  <si>
    <t>Critical Thinking: Không coi điểm AI là bằng chứng đúng.
Contextualization: Rubric yêu cầu lý do và tính testable.
Creative Synthesis: Tôi đối chiếu đáp án, audit log và evidence.
Decision: Hoàn thành khi tất cả mục có lý do rõ.</t>
  </si>
  <si>
    <t>Rubric cross-check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</si>
  <si>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</si>
  <si>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</si>
  <si>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</si>
  <si>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</si>
  <si>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</si>
  <si>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</si>
  <si>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</si>
  <si>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</si>
  <si>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Oversimplification</t>
  </si>
  <si>
    <t>Online payment should be a Must because a modern booking app needs it.</t>
  </si>
  <si>
    <t>Patients can still book and pay at the clinic; the core purpose works without VNPay/MoMo.</t>
  </si>
  <si>
    <t>Applied the Must test: remove the feature and check whether the main goal still works.</t>
  </si>
  <si>
    <t>Downgraded R07 to Should; under five weeks it becomes Won't.</t>
  </si>
  <si>
    <t>Context Misunderstanding</t>
  </si>
  <si>
    <t>TH4 is Validation only.</t>
  </si>
  <si>
    <t>TH4 also verifies traceability between business and software requirements while validating business intent.</t>
  </si>
  <si>
    <t>Compared the reviewed artifacts with the definitions of Verification and Validation.</t>
  </si>
  <si>
    <t>Classified TH4 as Both and explained both aspects.</t>
  </si>
  <si>
    <t>Four ACs for success and common errors are sufficient.</t>
  </si>
  <si>
    <t>The set misses concurrency when two patients confirm the final slot at the same time.</t>
  </si>
  <si>
    <t>Reviewed the booking flow for race conditions and real operational failures.</t>
  </si>
  <si>
    <t>Added concurrency analysis and a two-session test case.</t>
  </si>
  <si>
    <t>HALLUCINATION TYPES REFERENCE:</t>
  </si>
  <si>
    <t>Type</t>
  </si>
  <si>
    <t>Definition</t>
  </si>
  <si>
    <t>Example</t>
  </si>
  <si>
    <t>Fabrication</t>
  </si>
  <si>
    <t>AI tạo ra thông tin không tồn tại</t>
  </si>
  <si>
    <t>Fake papers, fake APIs, fake data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</si>
  <si>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</si>
  <si>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</si>
  <si>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</si>
  <si>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</si>
  <si>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</si>
  <si>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</si>
  <si>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</si>
  <si>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</si>
  <si>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</si>
  <si>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</si>
  <si>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</si>
  <si>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</si>
  <si>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</si>
  <si>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</si>
  <si>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</si>
  <si>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</si>
  <si>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</si>
  <si>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</si>
  <si>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</si>
  <si>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☑</t>
  </si>
  <si>
    <t>8/8 prompts affect prioritization, classification, or test design.</t>
  </si>
  <si>
    <t>2</t>
  </si>
  <si>
    <t>Nếu không có prompt này, project có thay đổi về architecture/design?</t>
  </si>
  <si>
    <t>MoSCoW, TH4, and concurrency analysis would change without them.</t>
  </si>
  <si>
    <t>3</t>
  </si>
  <si>
    <t>Tôi có thể giải thích lý do chọn/không chọn gợi ý của AI?</t>
  </si>
  <si>
    <t>Human Delta explains why AI suggestions were accepted or changed.</t>
  </si>
  <si>
    <t>4</t>
  </si>
  <si>
    <t>Có minh chứng cụ thể (code, metrics, comparison)?</t>
  </si>
  <si>
    <t>Evidence is recorded for all 8 entries.</t>
  </si>
  <si>
    <t>5</t>
  </si>
  <si>
    <t>Prompt này phản ánh tư duy phản biện, không chỉ copy AI?</t>
  </si>
  <si>
    <t>Three AI errors were detected and corrected.</t>
  </si>
  <si>
    <t>B. KIỂM TRA TỔNG THỂ LOG</t>
  </si>
  <si>
    <t>Current Value</t>
  </si>
  <si>
    <t>Số lượng entries nằm trong range (min-max)?</t>
  </si>
  <si>
    <t>8 core entries</t>
  </si>
  <si>
    <t>Mỗi DTC component có ít nhất 1 core prompt?</t>
  </si>
  <si>
    <t>Decomposition 2; Pattern 2; Abstraction 2; Algorithms 2</t>
  </si>
  <si>
    <t>Đã phát hiện ≥ số lượng hallucination yêu cầu?</t>
  </si>
  <si>
    <t>3 cases; requirement is at least 2</t>
  </si>
  <si>
    <t>Mỗi entry đều có Human Delta đầy đủ (4 câu hỏi)?</t>
  </si>
  <si>
    <t>8/8 entries contain all four Human Delta parts</t>
  </si>
  <si>
    <t>Có evidence cho ≥70% entries?</t>
  </si>
  <si>
    <t>8/8 = 100%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</si>
  <si>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</si>
  <si>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</si>
  <si>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</si>
  <si>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</si>
  <si>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</si>
  <si>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</si>
  <si>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</si>
  <si>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</si>
  <si>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Có - dùng core-goal test</t>
  </si>
  <si>
    <t>Có</t>
  </si>
  <si>
    <t>Có - bảng MoSCoW</t>
  </si>
  <si>
    <t>Có - kiểm tra giá trị và workaround</t>
  </si>
  <si>
    <t>Có - 6 câu hỏi</t>
  </si>
  <si>
    <t>Có - ưu tiên giảm rủi ro tích hợp</t>
  </si>
  <si>
    <t>Có - bảng hạ cấp</t>
  </si>
  <si>
    <t>Có - phân biệt đối tượng được kiểm tra</t>
  </si>
  <si>
    <t>Có - bảng TH1-TH5</t>
  </si>
  <si>
    <t>Có - verification pass, validation fail</t>
  </si>
  <si>
    <t>Có - phân tích TH5</t>
  </si>
  <si>
    <t>Có - AC phải testable</t>
  </si>
  <si>
    <t>Có - 4 AC</t>
  </si>
  <si>
    <t>Có - concurrency là lỗi thực tế</t>
  </si>
  <si>
    <t>Có - test case</t>
  </si>
  <si>
    <t>Có - cross-check theo rubric</t>
  </si>
  <si>
    <t>Có - bản cuối</t>
  </si>
  <si>
    <t>Nguyễn Đình Khôi</t>
  </si>
  <si>
    <t>DE190992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</si>
</sst>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Calibri"/>
    </font>
    <font>
      <b/>
      <sz val="16"/>
      <color rgb="FF2E75B6"/>
      <name val="Calibri"/>
    </font>
    <font>
      <b/>
      <sz val="14"/>
      <color rgb="FF2E75B6"/>
      <name val="Calibri"/>
    </font>
    <font>
      <b/>
      <sz val="11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i/>
      <sz val="10"/>
      <color rgb="FF666666"/>
      <name val="Calibri"/>
    </font>
    <font>
      <b/>
      <sz val="16"/>
      <color rgb="FFFF0000"/>
      <name val="Calibri"/>
    </font>
    <font>
      <b/>
      <i/>
      <sz val="10"/>
      <color rgb="FFFF0000"/>
      <name val="Calibri"/>
    </font>
    <font>
      <sz val="10"/>
      <name val="Calibri"/>
    </font>
    <font>
      <b/>
      <sz val="12"/>
      <color rgb="FFFF0000"/>
      <name val="Calibri"/>
    </font>
    <font>
      <sz val="11"/>
      <color rgb="FFFF0000"/>
      <name val="Calibri"/>
    </font>
    <font>
      <i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2E75B6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164" fontId="0" fillId="0" borderId="0" xfId="0" applyNumberFormat="1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workbookViewId="0">
      <selection activeCell="E12" sqref="E12"/>
    </sheetView>
  </sheetViews>
  <sheetFormatPr defaultRowHeight="14.4" x14ac:dyDescent="0.3"/>
  <cols>
    <col min="1" max="1" width="25" customWidth="1"/>
    <col min="2" max="2" width="40" customWidth="1"/>
    <col min="3" max="3" width="15" customWidth="1"/>
    <col min="4" max="4" width="30" customWidth="1"/>
    <col min="5" max="6" width="20" customWidth="1"/>
  </cols>
  <sheetData>
    <row r="1" spans="1:6" x14ac:dyDescent="0.3">
      <c r="A1" s="20" t="s">
        <v>0</v>
      </c>
      <c r="B1" s="21"/>
      <c r="C1" s="21"/>
      <c r="D1" s="21"/>
      <c r="E1" s="21"/>
      <c r="F1" s="21"/>
    </row>
    <row r="3" spans="1:6" ht="18" x14ac:dyDescent="0.35">
      <c r="A3" s="1" t="s">
        <v>1</v>
      </c>
    </row>
    <row r="4" spans="1:6" x14ac:dyDescent="0.3">
      <c r="A4" s="2" t="s">
        <v>2</v>
      </c>
      <c r="C4" t="s">
        <v>194</v>
      </c>
    </row>
    <row r="5" spans="1:6" x14ac:dyDescent="0.3">
      <c r="A5" s="2" t="s">
        <v>3</v>
      </c>
      <c r="C5" t="s">
        <v>195</v>
      </c>
    </row>
    <row r="6" spans="1:6" x14ac:dyDescent="0.3">
      <c r="A6" s="2" t="s">
        <v>4</v>
      </c>
      <c r="C6" t="s">
        <v>5</v>
      </c>
    </row>
    <row r="7" spans="1:6" x14ac:dyDescent="0.3">
      <c r="A7" s="2" t="s">
        <v>6</v>
      </c>
      <c r="C7" t="s">
        <v>7</v>
      </c>
    </row>
    <row r="9" spans="1:6" ht="18" x14ac:dyDescent="0.35">
      <c r="A9" s="1" t="s">
        <v>8</v>
      </c>
    </row>
    <row r="10" spans="1:6" x14ac:dyDescent="0.3">
      <c r="A10" s="2" t="s">
        <v>9</v>
      </c>
      <c r="C10">
        <v>58</v>
      </c>
    </row>
    <row r="11" spans="1:6" x14ac:dyDescent="0.3">
      <c r="A11" s="2" t="s">
        <v>10</v>
      </c>
      <c r="C11" s="3">
        <v>8</v>
      </c>
    </row>
    <row r="12" spans="1:6" x14ac:dyDescent="0.3">
      <c r="A12" s="2" t="s">
        <v>11</v>
      </c>
      <c r="C12" s="4">
        <f>IFERROR(C11/C10,0)</f>
        <v>0.13793103448275862</v>
      </c>
      <c r="E12" s="5" t="s">
        <v>12</v>
      </c>
    </row>
    <row r="13" spans="1:6" x14ac:dyDescent="0.3">
      <c r="A13" s="2" t="s">
        <v>13</v>
      </c>
      <c r="C13" s="3">
        <v>3</v>
      </c>
    </row>
    <row r="15" spans="1:6" ht="18" x14ac:dyDescent="0.35">
      <c r="A15" s="1" t="s">
        <v>14</v>
      </c>
    </row>
    <row r="16" spans="1:6" x14ac:dyDescent="0.3">
      <c r="A16" s="6" t="s">
        <v>15</v>
      </c>
      <c r="B16" s="6" t="s">
        <v>16</v>
      </c>
      <c r="C16" s="6" t="s">
        <v>17</v>
      </c>
      <c r="D16" s="6" t="s">
        <v>18</v>
      </c>
    </row>
    <row r="17" spans="1:4" ht="28.8" x14ac:dyDescent="0.3">
      <c r="A17" s="7" t="s">
        <v>19</v>
      </c>
      <c r="B17" s="7" t="s">
        <v>20</v>
      </c>
      <c r="C17" s="7" t="s">
        <v>21</v>
      </c>
      <c r="D17" s="7" t="s">
        <v>22</v>
      </c>
    </row>
    <row r="18" spans="1:4" x14ac:dyDescent="0.3">
      <c r="A18" s="7" t="s">
        <v>23</v>
      </c>
      <c r="B18" s="7" t="s">
        <v>24</v>
      </c>
      <c r="C18" s="7" t="s">
        <v>24</v>
      </c>
      <c r="D18" s="7" t="s">
        <v>24</v>
      </c>
    </row>
    <row r="19" spans="1:4" x14ac:dyDescent="0.3">
      <c r="A19" s="7"/>
      <c r="B19" s="7"/>
      <c r="C19" s="7"/>
      <c r="D19" s="7"/>
    </row>
    <row r="20" spans="1:4" x14ac:dyDescent="0.3">
      <c r="A20" s="7"/>
      <c r="B20" s="7"/>
      <c r="C20" s="7"/>
      <c r="D20" s="7"/>
    </row>
    <row r="22" spans="1:4" ht="18" x14ac:dyDescent="0.35">
      <c r="A22" s="1" t="s">
        <v>25</v>
      </c>
    </row>
    <row r="23" spans="1:4" x14ac:dyDescent="0.3">
      <c r="A23" s="6" t="s">
        <v>26</v>
      </c>
      <c r="B23" s="6" t="s">
        <v>27</v>
      </c>
      <c r="C23" s="6" t="s">
        <v>28</v>
      </c>
    </row>
    <row r="24" spans="1:4" x14ac:dyDescent="0.3">
      <c r="A24" s="7" t="s">
        <v>29</v>
      </c>
      <c r="B24" s="8">
        <f>COUNTIF('2. Detailed Audit Log'!C4:C30,"Decomposition")</f>
        <v>2</v>
      </c>
      <c r="C24" s="9" t="s">
        <v>30</v>
      </c>
    </row>
    <row r="25" spans="1:4" x14ac:dyDescent="0.3">
      <c r="A25" s="7" t="s">
        <v>31</v>
      </c>
      <c r="B25" s="8">
        <f>COUNTIF('2. Detailed Audit Log'!C4:C30,"Pattern Recognition")</f>
        <v>2</v>
      </c>
      <c r="C25" s="9" t="s">
        <v>30</v>
      </c>
    </row>
    <row r="26" spans="1:4" x14ac:dyDescent="0.3">
      <c r="A26" s="7" t="s">
        <v>32</v>
      </c>
      <c r="B26" s="8">
        <f>COUNTIF('2. Detailed Audit Log'!C4:C30,"Abstraction")</f>
        <v>2</v>
      </c>
      <c r="C26" s="9" t="s">
        <v>30</v>
      </c>
    </row>
    <row r="27" spans="1:4" x14ac:dyDescent="0.3">
      <c r="A27" s="7" t="s">
        <v>33</v>
      </c>
      <c r="B27" s="8">
        <f>COUNTIF('2. Detailed Audit Log'!C4:C30,"Algorithms")</f>
        <v>2</v>
      </c>
      <c r="C27" s="9" t="s">
        <v>30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topLeftCell="A6" workbookViewId="0">
      <selection sqref="A1:H1"/>
    </sheetView>
  </sheetViews>
  <sheetFormatPr defaultRowHeight="14.4" x14ac:dyDescent="0.3"/>
  <cols>
    <col min="1" max="1" width="8" customWidth="1"/>
    <col min="2" max="3" width="18" customWidth="1"/>
    <col min="4" max="4" width="25" customWidth="1"/>
    <col min="5" max="5" width="30" customWidth="1"/>
    <col min="6" max="6" width="35" customWidth="1"/>
    <col min="7" max="7" width="50" customWidth="1"/>
    <col min="8" max="8" width="20" customWidth="1"/>
  </cols>
  <sheetData>
    <row r="1" spans="1:8" x14ac:dyDescent="0.3">
      <c r="A1" s="20" t="s">
        <v>34</v>
      </c>
      <c r="B1" s="21"/>
      <c r="C1" s="21"/>
      <c r="D1" s="21"/>
      <c r="E1" s="21"/>
      <c r="F1" s="21"/>
      <c r="G1" s="21"/>
      <c r="H1" s="21"/>
    </row>
    <row r="2" spans="1:8" ht="24" customHeight="1" x14ac:dyDescent="0.3">
      <c r="A2" s="22" t="s">
        <v>35</v>
      </c>
      <c r="B2" s="21"/>
      <c r="C2" s="21"/>
      <c r="D2" s="21"/>
      <c r="E2" s="21"/>
      <c r="F2" s="21"/>
      <c r="G2" s="21"/>
      <c r="H2" s="21"/>
    </row>
    <row r="3" spans="1:8" ht="31.95" customHeight="1" x14ac:dyDescent="0.3">
      <c r="A3" s="6" t="s">
        <v>36</v>
      </c>
      <c r="B3" s="6" t="s">
        <v>37</v>
      </c>
      <c r="C3" s="6" t="s">
        <v>38</v>
      </c>
      <c r="D3" s="6" t="s">
        <v>39</v>
      </c>
      <c r="E3" s="6" t="s">
        <v>40</v>
      </c>
      <c r="F3" s="6" t="s">
        <v>41</v>
      </c>
      <c r="G3" s="6" t="s">
        <v>42</v>
      </c>
      <c r="H3" s="6" t="s">
        <v>43</v>
      </c>
    </row>
    <row r="4" spans="1:8" ht="96" customHeight="1" x14ac:dyDescent="0.3">
      <c r="A4" s="7" t="s">
        <v>44</v>
      </c>
      <c r="B4" s="7" t="s">
        <v>45</v>
      </c>
      <c r="C4" s="7" t="s">
        <v>32</v>
      </c>
      <c r="D4" s="7" t="s">
        <v>46</v>
      </c>
      <c r="E4" s="7" t="s">
        <v>47</v>
      </c>
      <c r="F4" s="7" t="s">
        <v>48</v>
      </c>
      <c r="G4" s="7" t="s">
        <v>49</v>
      </c>
      <c r="H4" s="7" t="s">
        <v>50</v>
      </c>
    </row>
    <row r="5" spans="1:8" ht="96" customHeight="1" x14ac:dyDescent="0.3">
      <c r="A5" s="7" t="s">
        <v>51</v>
      </c>
      <c r="B5" s="7" t="s">
        <v>52</v>
      </c>
      <c r="C5" s="7" t="s">
        <v>31</v>
      </c>
      <c r="D5" s="7" t="s">
        <v>53</v>
      </c>
      <c r="E5" s="7" t="s">
        <v>54</v>
      </c>
      <c r="F5" s="7" t="s">
        <v>55</v>
      </c>
      <c r="G5" s="7" t="s">
        <v>56</v>
      </c>
      <c r="H5" s="7" t="s">
        <v>57</v>
      </c>
    </row>
    <row r="6" spans="1:8" ht="96" customHeight="1" x14ac:dyDescent="0.3">
      <c r="A6" s="7" t="s">
        <v>58</v>
      </c>
      <c r="B6" s="7" t="s">
        <v>59</v>
      </c>
      <c r="C6" s="7" t="s">
        <v>32</v>
      </c>
      <c r="D6" s="7" t="s">
        <v>60</v>
      </c>
      <c r="E6" s="7" t="s">
        <v>61</v>
      </c>
      <c r="F6" s="7" t="s">
        <v>62</v>
      </c>
      <c r="G6" s="7" t="s">
        <v>63</v>
      </c>
      <c r="H6" s="7" t="s">
        <v>64</v>
      </c>
    </row>
    <row r="7" spans="1:8" ht="96" customHeight="1" x14ac:dyDescent="0.3">
      <c r="A7" s="7" t="s">
        <v>65</v>
      </c>
      <c r="B7" s="7" t="s">
        <v>45</v>
      </c>
      <c r="C7" s="7" t="s">
        <v>31</v>
      </c>
      <c r="D7" s="7" t="s">
        <v>66</v>
      </c>
      <c r="E7" s="7" t="s">
        <v>67</v>
      </c>
      <c r="F7" s="7" t="s">
        <v>68</v>
      </c>
      <c r="G7" s="7" t="s">
        <v>69</v>
      </c>
      <c r="H7" s="7" t="s">
        <v>70</v>
      </c>
    </row>
    <row r="8" spans="1:8" ht="96" customHeight="1" x14ac:dyDescent="0.3">
      <c r="A8" s="7" t="s">
        <v>71</v>
      </c>
      <c r="B8" s="7" t="s">
        <v>52</v>
      </c>
      <c r="C8" s="7" t="s">
        <v>29</v>
      </c>
      <c r="D8" s="7" t="s">
        <v>72</v>
      </c>
      <c r="E8" s="7" t="s">
        <v>73</v>
      </c>
      <c r="F8" s="7" t="s">
        <v>74</v>
      </c>
      <c r="G8" s="7" t="s">
        <v>75</v>
      </c>
      <c r="H8" s="7" t="s">
        <v>76</v>
      </c>
    </row>
    <row r="9" spans="1:8" ht="96" customHeight="1" x14ac:dyDescent="0.3">
      <c r="A9" s="7" t="s">
        <v>77</v>
      </c>
      <c r="B9" s="7" t="s">
        <v>52</v>
      </c>
      <c r="C9" s="7" t="s">
        <v>33</v>
      </c>
      <c r="D9" s="7" t="s">
        <v>78</v>
      </c>
      <c r="E9" s="7" t="s">
        <v>79</v>
      </c>
      <c r="F9" s="7" t="s">
        <v>80</v>
      </c>
      <c r="G9" s="7" t="s">
        <v>81</v>
      </c>
      <c r="H9" s="7" t="s">
        <v>82</v>
      </c>
    </row>
    <row r="10" spans="1:8" ht="96" customHeight="1" x14ac:dyDescent="0.3">
      <c r="A10" s="7" t="s">
        <v>83</v>
      </c>
      <c r="B10" s="7" t="s">
        <v>45</v>
      </c>
      <c r="C10" s="7" t="s">
        <v>33</v>
      </c>
      <c r="D10" s="7" t="s">
        <v>84</v>
      </c>
      <c r="E10" s="7" t="s">
        <v>85</v>
      </c>
      <c r="F10" s="7" t="s">
        <v>86</v>
      </c>
      <c r="G10" s="7" t="s">
        <v>87</v>
      </c>
      <c r="H10" s="7" t="s">
        <v>88</v>
      </c>
    </row>
    <row r="11" spans="1:8" ht="96" customHeight="1" x14ac:dyDescent="0.3">
      <c r="A11" s="7" t="s">
        <v>89</v>
      </c>
      <c r="B11" s="7" t="s">
        <v>59</v>
      </c>
      <c r="C11" s="7" t="s">
        <v>29</v>
      </c>
      <c r="D11" s="7" t="s">
        <v>90</v>
      </c>
      <c r="E11" s="7" t="s">
        <v>91</v>
      </c>
      <c r="F11" s="7" t="s">
        <v>92</v>
      </c>
      <c r="G11" s="7" t="s">
        <v>93</v>
      </c>
      <c r="H11" s="7" t="s">
        <v>94</v>
      </c>
    </row>
    <row r="12" spans="1:8" ht="64.05" customHeight="1" x14ac:dyDescent="0.3">
      <c r="A12" s="7"/>
      <c r="B12" s="7"/>
      <c r="C12" s="7"/>
      <c r="D12" s="7"/>
      <c r="E12" s="7"/>
      <c r="F12" s="7"/>
      <c r="G12" s="7"/>
      <c r="H12" s="7"/>
    </row>
    <row r="13" spans="1:8" ht="64.05" customHeight="1" x14ac:dyDescent="0.3">
      <c r="A13" s="7"/>
      <c r="B13" s="7"/>
      <c r="C13" s="7"/>
      <c r="D13" s="7"/>
      <c r="E13" s="7"/>
      <c r="F13" s="7"/>
      <c r="G13" s="7"/>
      <c r="H13" s="7"/>
    </row>
    <row r="14" spans="1:8" ht="64.05" customHeight="1" x14ac:dyDescent="0.3">
      <c r="A14" s="7"/>
      <c r="B14" s="7"/>
      <c r="C14" s="7"/>
      <c r="D14" s="7"/>
      <c r="E14" s="7"/>
      <c r="F14" s="7"/>
      <c r="G14" s="7"/>
      <c r="H14" s="7"/>
    </row>
    <row r="15" spans="1:8" ht="64.05" customHeight="1" x14ac:dyDescent="0.3">
      <c r="A15" s="7"/>
      <c r="B15" s="7"/>
      <c r="C15" s="7"/>
      <c r="D15" s="7"/>
      <c r="E15" s="7"/>
      <c r="F15" s="7"/>
      <c r="G15" s="7"/>
      <c r="H15" s="7"/>
    </row>
    <row r="16" spans="1:8" ht="64.05" customHeight="1" x14ac:dyDescent="0.3">
      <c r="A16" s="7"/>
      <c r="B16" s="7"/>
      <c r="C16" s="7"/>
      <c r="D16" s="7"/>
      <c r="E16" s="7"/>
      <c r="F16" s="7"/>
      <c r="G16" s="7"/>
      <c r="H16" s="7"/>
    </row>
    <row r="17" spans="1:8" ht="64.05" customHeight="1" x14ac:dyDescent="0.3">
      <c r="A17" s="7"/>
      <c r="B17" s="7"/>
      <c r="C17" s="7"/>
      <c r="D17" s="7"/>
      <c r="E17" s="7"/>
      <c r="F17" s="7"/>
      <c r="G17" s="7"/>
      <c r="H17" s="7"/>
    </row>
    <row r="18" spans="1:8" ht="64.05" customHeight="1" x14ac:dyDescent="0.3">
      <c r="A18" s="7"/>
      <c r="B18" s="7"/>
      <c r="C18" s="7"/>
      <c r="D18" s="7"/>
      <c r="E18" s="7"/>
      <c r="F18" s="7"/>
      <c r="G18" s="7"/>
      <c r="H18" s="7"/>
    </row>
    <row r="19" spans="1:8" ht="64.05" customHeight="1" x14ac:dyDescent="0.3">
      <c r="A19" s="7"/>
      <c r="B19" s="7"/>
      <c r="C19" s="7"/>
      <c r="D19" s="7"/>
      <c r="E19" s="7"/>
      <c r="F19" s="7"/>
      <c r="G19" s="7"/>
      <c r="H19" s="7"/>
    </row>
    <row r="20" spans="1:8" ht="64.05" customHeight="1" x14ac:dyDescent="0.3">
      <c r="A20" s="7"/>
      <c r="B20" s="7"/>
      <c r="C20" s="7"/>
      <c r="D20" s="7"/>
      <c r="E20" s="7"/>
      <c r="F20" s="7"/>
      <c r="G20" s="7"/>
      <c r="H20" s="7"/>
    </row>
    <row r="21" spans="1:8" ht="64.05" customHeight="1" x14ac:dyDescent="0.3">
      <c r="A21" s="7"/>
      <c r="B21" s="7"/>
      <c r="C21" s="7"/>
      <c r="D21" s="7"/>
      <c r="E21" s="7"/>
      <c r="F21" s="7"/>
      <c r="G21" s="7"/>
      <c r="H21" s="7"/>
    </row>
    <row r="22" spans="1:8" ht="64.05" customHeight="1" x14ac:dyDescent="0.3">
      <c r="A22" s="7"/>
      <c r="B22" s="7"/>
      <c r="C22" s="7"/>
      <c r="D22" s="7"/>
      <c r="E22" s="7"/>
      <c r="F22" s="7"/>
      <c r="G22" s="7"/>
      <c r="H22" s="7"/>
    </row>
    <row r="23" spans="1:8" ht="64.05" customHeight="1" x14ac:dyDescent="0.3">
      <c r="A23" s="7"/>
      <c r="B23" s="7"/>
      <c r="C23" s="7"/>
      <c r="D23" s="7"/>
      <c r="E23" s="7"/>
      <c r="F23" s="7"/>
      <c r="G23" s="7"/>
      <c r="H23" s="7"/>
    </row>
    <row r="24" spans="1:8" ht="64.05" customHeight="1" x14ac:dyDescent="0.3">
      <c r="A24" s="7"/>
      <c r="B24" s="7"/>
      <c r="C24" s="7"/>
      <c r="D24" s="7"/>
      <c r="E24" s="7"/>
      <c r="F24" s="7"/>
      <c r="G24" s="7"/>
      <c r="H24" s="7"/>
    </row>
    <row r="25" spans="1:8" ht="64.05" customHeight="1" x14ac:dyDescent="0.3">
      <c r="A25" s="7"/>
      <c r="B25" s="7"/>
      <c r="C25" s="7"/>
      <c r="D25" s="7"/>
      <c r="E25" s="7"/>
      <c r="F25" s="7"/>
      <c r="G25" s="7"/>
      <c r="H25" s="7"/>
    </row>
    <row r="26" spans="1:8" ht="64.05" customHeight="1" x14ac:dyDescent="0.3">
      <c r="A26" s="7"/>
      <c r="B26" s="7"/>
      <c r="C26" s="7"/>
      <c r="D26" s="7"/>
      <c r="E26" s="7"/>
      <c r="F26" s="7"/>
      <c r="G26" s="7"/>
      <c r="H26" s="7"/>
    </row>
  </sheetData>
  <mergeCells count="2">
    <mergeCell ref="A2:H2"/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"/>
  <sheetViews>
    <sheetView topLeftCell="A3" workbookViewId="0">
      <selection sqref="A1:F1"/>
    </sheetView>
  </sheetViews>
  <sheetFormatPr defaultRowHeight="14.4" x14ac:dyDescent="0.3"/>
  <cols>
    <col min="1" max="1" width="12" customWidth="1"/>
    <col min="2" max="2" width="22" customWidth="1"/>
    <col min="3" max="6" width="30" customWidth="1"/>
  </cols>
  <sheetData>
    <row r="1" spans="1:6" x14ac:dyDescent="0.3">
      <c r="A1" s="24" t="s">
        <v>95</v>
      </c>
      <c r="B1" s="21"/>
      <c r="C1" s="21"/>
      <c r="D1" s="21"/>
      <c r="E1" s="21"/>
      <c r="F1" s="21"/>
    </row>
    <row r="2" spans="1:6" x14ac:dyDescent="0.3">
      <c r="A2" s="23" t="s">
        <v>96</v>
      </c>
      <c r="B2" s="21"/>
      <c r="C2" s="21"/>
      <c r="D2" s="21"/>
      <c r="E2" s="21"/>
      <c r="F2" s="21"/>
    </row>
    <row r="3" spans="1:6" ht="31.95" customHeight="1" x14ac:dyDescent="0.3">
      <c r="A3" s="6" t="s">
        <v>97</v>
      </c>
      <c r="B3" s="6" t="s">
        <v>98</v>
      </c>
      <c r="C3" s="6" t="s">
        <v>99</v>
      </c>
      <c r="D3" s="6" t="s">
        <v>100</v>
      </c>
      <c r="E3" s="6" t="s">
        <v>101</v>
      </c>
      <c r="F3" s="6" t="s">
        <v>102</v>
      </c>
    </row>
    <row r="4" spans="1:6" ht="84" customHeight="1" x14ac:dyDescent="0.3">
      <c r="A4" s="7" t="s">
        <v>44</v>
      </c>
      <c r="B4" s="7" t="s">
        <v>103</v>
      </c>
      <c r="C4" s="7" t="s">
        <v>104</v>
      </c>
      <c r="D4" s="7" t="s">
        <v>105</v>
      </c>
      <c r="E4" s="7" t="s">
        <v>106</v>
      </c>
      <c r="F4" s="7" t="s">
        <v>107</v>
      </c>
    </row>
    <row r="5" spans="1:6" ht="84" customHeight="1" x14ac:dyDescent="0.3">
      <c r="A5" s="7" t="s">
        <v>65</v>
      </c>
      <c r="B5" s="7" t="s">
        <v>108</v>
      </c>
      <c r="C5" s="7" t="s">
        <v>109</v>
      </c>
      <c r="D5" s="7" t="s">
        <v>110</v>
      </c>
      <c r="E5" s="7" t="s">
        <v>111</v>
      </c>
      <c r="F5" s="7" t="s">
        <v>112</v>
      </c>
    </row>
    <row r="6" spans="1:6" ht="84" customHeight="1" x14ac:dyDescent="0.3">
      <c r="A6" s="7" t="s">
        <v>77</v>
      </c>
      <c r="B6" s="7" t="s">
        <v>103</v>
      </c>
      <c r="C6" s="7" t="s">
        <v>113</v>
      </c>
      <c r="D6" s="7" t="s">
        <v>114</v>
      </c>
      <c r="E6" s="7" t="s">
        <v>115</v>
      </c>
      <c r="F6" s="7" t="s">
        <v>116</v>
      </c>
    </row>
    <row r="7" spans="1:6" ht="48" customHeight="1" x14ac:dyDescent="0.3">
      <c r="A7" s="7"/>
      <c r="B7" s="7"/>
      <c r="C7" s="7"/>
      <c r="D7" s="7"/>
      <c r="E7" s="7"/>
      <c r="F7" s="7"/>
    </row>
    <row r="8" spans="1:6" ht="48" customHeight="1" x14ac:dyDescent="0.3">
      <c r="A8" s="7"/>
      <c r="B8" s="7"/>
      <c r="C8" s="7"/>
      <c r="D8" s="7"/>
      <c r="E8" s="7"/>
      <c r="F8" s="7"/>
    </row>
    <row r="9" spans="1:6" ht="48" customHeight="1" x14ac:dyDescent="0.3">
      <c r="A9" s="7"/>
      <c r="B9" s="7"/>
      <c r="C9" s="7"/>
      <c r="D9" s="7"/>
      <c r="E9" s="7"/>
      <c r="F9" s="7"/>
    </row>
    <row r="10" spans="1:6" ht="48" customHeight="1" x14ac:dyDescent="0.3">
      <c r="A10" s="7"/>
      <c r="B10" s="7"/>
      <c r="C10" s="7"/>
      <c r="D10" s="7"/>
      <c r="E10" s="7"/>
      <c r="F10" s="7"/>
    </row>
    <row r="11" spans="1:6" ht="48" customHeight="1" x14ac:dyDescent="0.3">
      <c r="A11" s="7"/>
      <c r="B11" s="7"/>
      <c r="C11" s="7"/>
      <c r="D11" s="7"/>
      <c r="E11" s="7"/>
      <c r="F11" s="7"/>
    </row>
    <row r="12" spans="1:6" ht="48" customHeight="1" x14ac:dyDescent="0.3">
      <c r="A12" s="7"/>
      <c r="B12" s="7"/>
      <c r="C12" s="7"/>
      <c r="D12" s="7"/>
      <c r="E12" s="7"/>
      <c r="F12" s="7"/>
    </row>
    <row r="13" spans="1:6" ht="48" customHeight="1" x14ac:dyDescent="0.3">
      <c r="A13" s="7"/>
      <c r="B13" s="7"/>
      <c r="C13" s="7"/>
      <c r="D13" s="7"/>
      <c r="E13" s="7"/>
      <c r="F13" s="7"/>
    </row>
    <row r="14" spans="1:6" ht="48" customHeight="1" x14ac:dyDescent="0.3">
      <c r="A14" s="7"/>
      <c r="B14" s="7"/>
      <c r="C14" s="7"/>
      <c r="D14" s="7"/>
      <c r="E14" s="7"/>
      <c r="F14" s="7"/>
    </row>
    <row r="15" spans="1:6" ht="48" customHeight="1" x14ac:dyDescent="0.3">
      <c r="A15" s="7"/>
      <c r="B15" s="7"/>
      <c r="C15" s="7"/>
      <c r="D15" s="7"/>
      <c r="E15" s="7"/>
      <c r="F15" s="7"/>
    </row>
    <row r="16" spans="1:6" ht="48" customHeight="1" x14ac:dyDescent="0.3">
      <c r="A16" s="7"/>
      <c r="B16" s="7"/>
      <c r="C16" s="7"/>
      <c r="D16" s="7"/>
      <c r="E16" s="7"/>
      <c r="F16" s="7"/>
    </row>
    <row r="17" spans="1:6" ht="48" customHeight="1" x14ac:dyDescent="0.3">
      <c r="A17" s="7"/>
      <c r="B17" s="7"/>
      <c r="C17" s="7"/>
      <c r="D17" s="7"/>
      <c r="E17" s="7"/>
      <c r="F17" s="7"/>
    </row>
    <row r="18" spans="1:6" ht="48" customHeight="1" x14ac:dyDescent="0.3">
      <c r="A18" s="7"/>
      <c r="B18" s="7"/>
      <c r="C18" s="7"/>
      <c r="D18" s="7"/>
      <c r="E18" s="7"/>
      <c r="F18" s="7"/>
    </row>
    <row r="19" spans="1:6" ht="48" customHeight="1" x14ac:dyDescent="0.3">
      <c r="A19" s="7"/>
      <c r="B19" s="7"/>
      <c r="C19" s="7"/>
      <c r="D19" s="7"/>
      <c r="E19" s="7"/>
      <c r="F19" s="7"/>
    </row>
    <row r="20" spans="1:6" ht="48" customHeight="1" x14ac:dyDescent="0.3">
      <c r="A20" s="7"/>
      <c r="B20" s="7"/>
      <c r="C20" s="7"/>
      <c r="D20" s="7"/>
      <c r="E20" s="7"/>
      <c r="F20" s="7"/>
    </row>
    <row r="21" spans="1:6" ht="48" customHeight="1" x14ac:dyDescent="0.3">
      <c r="A21" s="7"/>
      <c r="B21" s="7"/>
      <c r="C21" s="7"/>
      <c r="D21" s="7"/>
      <c r="E21" s="7"/>
      <c r="F21" s="7"/>
    </row>
    <row r="22" spans="1:6" ht="48" customHeight="1" x14ac:dyDescent="0.3">
      <c r="A22" s="7"/>
      <c r="B22" s="7"/>
      <c r="C22" s="7"/>
      <c r="D22" s="7"/>
      <c r="E22" s="7"/>
      <c r="F22" s="7"/>
    </row>
    <row r="23" spans="1:6" ht="48" customHeight="1" x14ac:dyDescent="0.3">
      <c r="A23" s="7"/>
      <c r="B23" s="7"/>
      <c r="C23" s="7"/>
      <c r="D23" s="7"/>
      <c r="E23" s="7"/>
      <c r="F23" s="7"/>
    </row>
    <row r="24" spans="1:6" ht="48" customHeight="1" x14ac:dyDescent="0.3">
      <c r="A24" s="7"/>
      <c r="B24" s="7"/>
      <c r="C24" s="7"/>
      <c r="D24" s="7"/>
      <c r="E24" s="7"/>
      <c r="F24" s="7"/>
    </row>
    <row r="30" spans="1:6" ht="18" x14ac:dyDescent="0.35">
      <c r="A30" s="1" t="s">
        <v>117</v>
      </c>
    </row>
    <row r="31" spans="1:6" x14ac:dyDescent="0.3">
      <c r="A31" s="10" t="s">
        <v>118</v>
      </c>
      <c r="B31" s="10" t="s">
        <v>119</v>
      </c>
      <c r="C31" s="10" t="s">
        <v>120</v>
      </c>
    </row>
    <row r="32" spans="1:6" ht="28.8" x14ac:dyDescent="0.3">
      <c r="A32" s="7" t="s">
        <v>121</v>
      </c>
      <c r="B32" s="7" t="s">
        <v>122</v>
      </c>
      <c r="C32" s="7" t="s">
        <v>123</v>
      </c>
    </row>
    <row r="33" spans="1:3" ht="28.8" x14ac:dyDescent="0.3">
      <c r="A33" s="7" t="s">
        <v>103</v>
      </c>
      <c r="B33" s="7" t="s">
        <v>124</v>
      </c>
      <c r="C33" s="7" t="s">
        <v>125</v>
      </c>
    </row>
    <row r="34" spans="1:3" ht="28.8" x14ac:dyDescent="0.3">
      <c r="A34" s="7" t="s">
        <v>126</v>
      </c>
      <c r="B34" s="7" t="s">
        <v>127</v>
      </c>
      <c r="C34" s="7" t="s">
        <v>128</v>
      </c>
    </row>
    <row r="35" spans="1:3" ht="28.8" x14ac:dyDescent="0.3">
      <c r="A35" s="7" t="s">
        <v>129</v>
      </c>
      <c r="B35" s="7" t="s">
        <v>130</v>
      </c>
      <c r="C35" s="7" t="s">
        <v>131</v>
      </c>
    </row>
    <row r="36" spans="1:3" ht="43.2" x14ac:dyDescent="0.3">
      <c r="A36" s="7" t="s">
        <v>108</v>
      </c>
      <c r="B36" s="7" t="s">
        <v>132</v>
      </c>
      <c r="C36" s="7" t="s">
        <v>133</v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5"/>
  <sheetViews>
    <sheetView zoomScale="130" zoomScaleNormal="130" workbookViewId="0">
      <selection sqref="A1:D1"/>
    </sheetView>
  </sheetViews>
  <sheetFormatPr defaultRowHeight="14.4" x14ac:dyDescent="0.3"/>
  <cols>
    <col min="1" max="1" width="8" customWidth="1"/>
    <col min="2" max="2" width="60" customWidth="1"/>
    <col min="3" max="3" width="10" customWidth="1"/>
    <col min="4" max="4" width="30" customWidth="1"/>
  </cols>
  <sheetData>
    <row r="1" spans="1:4" x14ac:dyDescent="0.3">
      <c r="A1" s="20" t="s">
        <v>134</v>
      </c>
      <c r="B1" s="21"/>
      <c r="C1" s="21"/>
      <c r="D1" s="21"/>
    </row>
    <row r="2" spans="1:4" x14ac:dyDescent="0.3">
      <c r="A2" s="25" t="s">
        <v>135</v>
      </c>
      <c r="B2" s="21"/>
      <c r="C2" s="21"/>
      <c r="D2" s="21"/>
    </row>
    <row r="4" spans="1:4" ht="18" x14ac:dyDescent="0.35">
      <c r="A4" s="1" t="s">
        <v>136</v>
      </c>
    </row>
    <row r="5" spans="1:4" x14ac:dyDescent="0.3">
      <c r="A5" s="6" t="s">
        <v>137</v>
      </c>
      <c r="B5" s="11" t="s">
        <v>138</v>
      </c>
      <c r="C5" s="6" t="s">
        <v>139</v>
      </c>
      <c r="D5" s="11" t="s">
        <v>140</v>
      </c>
    </row>
    <row r="6" spans="1:4" ht="27.6" x14ac:dyDescent="0.3">
      <c r="A6" s="12" t="s">
        <v>141</v>
      </c>
      <c r="B6" s="13" t="s">
        <v>142</v>
      </c>
      <c r="C6" s="12" t="s">
        <v>143</v>
      </c>
      <c r="D6" s="13" t="s">
        <v>144</v>
      </c>
    </row>
    <row r="7" spans="1:4" ht="41.4" x14ac:dyDescent="0.3">
      <c r="A7" s="12" t="s">
        <v>145</v>
      </c>
      <c r="B7" s="13" t="s">
        <v>146</v>
      </c>
      <c r="C7" s="12" t="s">
        <v>143</v>
      </c>
      <c r="D7" s="13" t="s">
        <v>147</v>
      </c>
    </row>
    <row r="8" spans="1:4" ht="41.4" x14ac:dyDescent="0.3">
      <c r="A8" s="12" t="s">
        <v>148</v>
      </c>
      <c r="B8" s="13" t="s">
        <v>149</v>
      </c>
      <c r="C8" s="12" t="s">
        <v>143</v>
      </c>
      <c r="D8" s="13" t="s">
        <v>150</v>
      </c>
    </row>
    <row r="9" spans="1:4" x14ac:dyDescent="0.3">
      <c r="A9" s="12" t="s">
        <v>151</v>
      </c>
      <c r="B9" s="13" t="s">
        <v>152</v>
      </c>
      <c r="C9" s="12" t="s">
        <v>143</v>
      </c>
      <c r="D9" s="13" t="s">
        <v>153</v>
      </c>
    </row>
    <row r="10" spans="1:4" ht="27.6" x14ac:dyDescent="0.3">
      <c r="A10" s="12" t="s">
        <v>154</v>
      </c>
      <c r="B10" s="13" t="s">
        <v>155</v>
      </c>
      <c r="C10" s="12" t="s">
        <v>143</v>
      </c>
      <c r="D10" s="13" t="s">
        <v>156</v>
      </c>
    </row>
    <row r="12" spans="1:4" ht="18" x14ac:dyDescent="0.35">
      <c r="A12" s="1" t="s">
        <v>157</v>
      </c>
    </row>
    <row r="13" spans="1:4" x14ac:dyDescent="0.3">
      <c r="A13" s="6" t="s">
        <v>137</v>
      </c>
      <c r="B13" s="11" t="s">
        <v>138</v>
      </c>
      <c r="C13" s="6" t="s">
        <v>139</v>
      </c>
      <c r="D13" s="11" t="s">
        <v>158</v>
      </c>
    </row>
    <row r="14" spans="1:4" x14ac:dyDescent="0.3">
      <c r="A14" s="12" t="s">
        <v>141</v>
      </c>
      <c r="B14" s="13" t="s">
        <v>159</v>
      </c>
      <c r="C14" s="12" t="s">
        <v>143</v>
      </c>
      <c r="D14" s="13" t="s">
        <v>160</v>
      </c>
    </row>
    <row r="15" spans="1:4" ht="27.6" x14ac:dyDescent="0.3">
      <c r="A15" s="12" t="s">
        <v>145</v>
      </c>
      <c r="B15" s="13" t="s">
        <v>161</v>
      </c>
      <c r="C15" s="12" t="s">
        <v>143</v>
      </c>
      <c r="D15" s="13" t="s">
        <v>162</v>
      </c>
    </row>
    <row r="16" spans="1:4" x14ac:dyDescent="0.3">
      <c r="A16" s="12" t="s">
        <v>148</v>
      </c>
      <c r="B16" s="13" t="s">
        <v>163</v>
      </c>
      <c r="C16" s="12" t="s">
        <v>143</v>
      </c>
      <c r="D16" s="13" t="s">
        <v>164</v>
      </c>
    </row>
    <row r="17" spans="1:4" ht="27.6" x14ac:dyDescent="0.3">
      <c r="A17" s="12" t="s">
        <v>151</v>
      </c>
      <c r="B17" s="13" t="s">
        <v>165</v>
      </c>
      <c r="C17" s="12" t="s">
        <v>143</v>
      </c>
      <c r="D17" s="13" t="s">
        <v>166</v>
      </c>
    </row>
    <row r="18" spans="1:4" x14ac:dyDescent="0.3">
      <c r="A18" s="12" t="s">
        <v>154</v>
      </c>
      <c r="B18" s="13" t="s">
        <v>167</v>
      </c>
      <c r="C18" s="12" t="s">
        <v>143</v>
      </c>
      <c r="D18" s="13" t="s">
        <v>168</v>
      </c>
    </row>
    <row r="20" spans="1:4" ht="15.6" x14ac:dyDescent="0.3">
      <c r="A20" s="14" t="s">
        <v>169</v>
      </c>
    </row>
    <row r="21" spans="1:4" x14ac:dyDescent="0.3">
      <c r="A21" s="15" t="s">
        <v>170</v>
      </c>
    </row>
    <row r="22" spans="1:4" x14ac:dyDescent="0.3">
      <c r="A22" s="15" t="s">
        <v>171</v>
      </c>
    </row>
    <row r="25" spans="1:4" ht="18" x14ac:dyDescent="0.35">
      <c r="A25" s="1" t="s">
        <v>172</v>
      </c>
    </row>
    <row r="26" spans="1:4" x14ac:dyDescent="0.3">
      <c r="A26" s="16" t="s">
        <v>173</v>
      </c>
    </row>
    <row r="27" spans="1:4" ht="43.2" x14ac:dyDescent="0.3">
      <c r="A27" s="17" t="s">
        <v>36</v>
      </c>
      <c r="B27" s="10" t="s">
        <v>174</v>
      </c>
      <c r="C27" s="10" t="s">
        <v>175</v>
      </c>
      <c r="D27" s="10" t="s">
        <v>176</v>
      </c>
    </row>
    <row r="28" spans="1:4" ht="30.45" customHeight="1" x14ac:dyDescent="0.3">
      <c r="A28" s="9" t="s">
        <v>44</v>
      </c>
      <c r="B28" s="18" t="s">
        <v>177</v>
      </c>
      <c r="C28" s="18" t="s">
        <v>178</v>
      </c>
      <c r="D28" s="18" t="s">
        <v>179</v>
      </c>
    </row>
    <row r="29" spans="1:4" ht="30.45" customHeight="1" x14ac:dyDescent="0.3">
      <c r="A29" s="9" t="s">
        <v>51</v>
      </c>
      <c r="B29" s="18" t="s">
        <v>180</v>
      </c>
      <c r="C29" s="18" t="s">
        <v>178</v>
      </c>
      <c r="D29" s="18" t="s">
        <v>181</v>
      </c>
    </row>
    <row r="30" spans="1:4" ht="30.45" customHeight="1" x14ac:dyDescent="0.3">
      <c r="A30" s="9" t="s">
        <v>58</v>
      </c>
      <c r="B30" s="18" t="s">
        <v>182</v>
      </c>
      <c r="C30" s="18" t="s">
        <v>178</v>
      </c>
      <c r="D30" s="18" t="s">
        <v>183</v>
      </c>
    </row>
    <row r="31" spans="1:4" ht="30.45" customHeight="1" x14ac:dyDescent="0.3">
      <c r="A31" s="19" t="s">
        <v>65</v>
      </c>
      <c r="B31" s="19" t="s">
        <v>184</v>
      </c>
      <c r="C31" s="19" t="s">
        <v>178</v>
      </c>
      <c r="D31" s="19" t="s">
        <v>185</v>
      </c>
    </row>
    <row r="32" spans="1:4" ht="30.45" customHeight="1" x14ac:dyDescent="0.3">
      <c r="A32" s="19" t="s">
        <v>71</v>
      </c>
      <c r="B32" s="19" t="s">
        <v>186</v>
      </c>
      <c r="C32" s="19" t="s">
        <v>178</v>
      </c>
      <c r="D32" s="19" t="s">
        <v>187</v>
      </c>
    </row>
    <row r="33" spans="1:4" ht="30.45" customHeight="1" x14ac:dyDescent="0.3">
      <c r="A33" s="19" t="s">
        <v>77</v>
      </c>
      <c r="B33" s="19" t="s">
        <v>188</v>
      </c>
      <c r="C33" s="19" t="s">
        <v>178</v>
      </c>
      <c r="D33" s="19" t="s">
        <v>189</v>
      </c>
    </row>
    <row r="34" spans="1:4" ht="30.45" customHeight="1" x14ac:dyDescent="0.3">
      <c r="A34" s="19" t="s">
        <v>83</v>
      </c>
      <c r="B34" s="19" t="s">
        <v>190</v>
      </c>
      <c r="C34" s="19" t="s">
        <v>178</v>
      </c>
      <c r="D34" s="19" t="s">
        <v>191</v>
      </c>
    </row>
    <row r="35" spans="1:4" ht="30.45" customHeight="1" x14ac:dyDescent="0.3">
      <c r="A35" s="19" t="s">
        <v>89</v>
      </c>
      <c r="B35" s="19" t="s">
        <v>192</v>
      </c>
      <c r="C35" s="19" t="s">
        <v>178</v>
      </c>
      <c r="D35" s="19" t="s">
        <v>193</v>
      </c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Novarious _</cp:lastModifiedBy>
  <dcterms:modified xsi:type="dcterms:W3CDTF">2026-06-18T04:24:04Z</dcterms:modified>
</cp:coreProperties>
</file>